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hamud\Downloads\Bank\"/>
    </mc:Choice>
  </mc:AlternateContent>
  <xr:revisionPtr revIDLastSave="0" documentId="13_ncr:1_{7C0E3D53-B474-4BFB-831A-6C92C1CEE7CB}" xr6:coauthVersionLast="47" xr6:coauthVersionMax="47" xr10:uidLastSave="{00000000-0000-0000-0000-000000000000}"/>
  <bookViews>
    <workbookView xWindow="4284" yWindow="1884" windowWidth="21240" windowHeight="12516" xr2:uid="{F4DD41EE-E799-476B-BA5E-FEA11EA53681}"/>
  </bookViews>
  <sheets>
    <sheet name="2025" sheetId="1" r:id="rId1"/>
    <sheet name="2024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2" l="1"/>
  <c r="M5" i="2" s="1"/>
  <c r="K4" i="2"/>
  <c r="K3" i="2"/>
  <c r="K2" i="2"/>
  <c r="M3" i="2" l="1"/>
  <c r="N3" i="2" s="1"/>
  <c r="O3" i="2" s="1"/>
  <c r="N5" i="2"/>
  <c r="O5" i="2" s="1"/>
  <c r="M4" i="2"/>
  <c r="N4" i="2" s="1"/>
  <c r="O4" i="2" s="1"/>
  <c r="M2" i="2"/>
  <c r="N2" i="2" s="1"/>
  <c r="O2" i="2" s="1"/>
</calcChain>
</file>

<file path=xl/sharedStrings.xml><?xml version="1.0" encoding="utf-8"?>
<sst xmlns="http://schemas.openxmlformats.org/spreadsheetml/2006/main" count="61" uniqueCount="25">
  <si>
    <t>Name</t>
  </si>
  <si>
    <t>I.D</t>
  </si>
  <si>
    <t>E-MAIL</t>
  </si>
  <si>
    <t>company</t>
  </si>
  <si>
    <t>Message Date</t>
  </si>
  <si>
    <t xml:space="preserve"> Record Date</t>
  </si>
  <si>
    <t>SYMBOL</t>
  </si>
  <si>
    <t xml:space="preserve">Number of shares as of Record Date  </t>
  </si>
  <si>
    <t xml:space="preserve">Dividend   Payment per share  </t>
  </si>
  <si>
    <t>Payment Date</t>
  </si>
  <si>
    <t xml:space="preserve">Gross Dividend Payment   </t>
  </si>
  <si>
    <t xml:space="preserve">Tax rate </t>
  </si>
  <si>
    <t>Tax Withholding</t>
  </si>
  <si>
    <t>Net Dividend payment</t>
  </si>
  <si>
    <t>Ali Hamud</t>
  </si>
  <si>
    <t>ALIHAMUD@MICROSOFT.COM</t>
  </si>
  <si>
    <t>Microsoft</t>
  </si>
  <si>
    <t>MSFT</t>
  </si>
  <si>
    <t xml:space="preserve">Number of Shares Tradable </t>
  </si>
  <si>
    <t xml:space="preserve">Balance as of </t>
  </si>
  <si>
    <t>Dividend price for one shares</t>
  </si>
  <si>
    <t xml:space="preserve">Amount of Dividend deposited </t>
  </si>
  <si>
    <t xml:space="preserve">Tax deducted </t>
  </si>
  <si>
    <t xml:space="preserve">Net amount of Dividend deposited in your account </t>
  </si>
  <si>
    <t xml:space="preserve">Total  amount  in your account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</si>
</sst>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7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 applyProtection="1">
      <alignment horizontal="center" vertical="center" wrapText="1"/>
      <protection locked="0"/>
    </xf>
    <xf numFmtId="0" fontId="2" fillId="2" borderId="1" xfId="1" applyFont="1" applyFill="1" applyBorder="1" applyAlignment="1" applyProtection="1">
      <alignment vertical="top" wrapText="1"/>
      <protection locked="0"/>
    </xf>
  </cellXfs>
  <cellStyles count="2">
    <cellStyle name="$ 2" xfId="1" xr:uid="{A11D8094-170F-4D1A-B14A-B75F6B1ED30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&#1500;&#1511;&#1493;&#1495;&#1493;&#1514;\&#1488;&#1493;&#1508;&#1510;&#1497;&#1493;&#1514;%20&#1500;&#1506;&#1493;&#1489;&#1491;&#1497;&#1501;\&#1502;&#1488;&#1490;&#1512;%20&#1497;&#1491;&#1506;\&#1511;&#1489;&#1510;&#1497;%20&#1502;&#1506;&#1511;&#1489;%20&#1510;&#1493;&#1493;&#1514;\&#1508;&#1500;&#1490;\&#1496;&#1502;&#1508;&#1500;&#1497;&#1497;&#1496;%20&#1502;&#1505;&#1499;&#1502;&#1514;%20&#1491;&#1497;&#1489;&#1497;&#1491;&#1504;&#1491;.xlsx" TargetMode="External"/><Relationship Id="rId1" Type="http://schemas.openxmlformats.org/officeDocument/2006/relationships/externalLinkPath" Target="file:///P:\&#1500;&#1511;&#1493;&#1495;&#1493;&#1514;\&#1488;&#1493;&#1508;&#1510;&#1497;&#1493;&#1514;%20&#1500;&#1506;&#1493;&#1489;&#1491;&#1497;&#1501;\&#1502;&#1488;&#1490;&#1512;%20&#1497;&#1491;&#1506;\&#1511;&#1489;&#1510;&#1497;%20&#1502;&#1506;&#1511;&#1489;%20&#1510;&#1493;&#1493;&#1514;\&#1508;&#1500;&#1490;\&#1496;&#1502;&#1508;&#1500;&#1497;&#1497;&#1496;%20&#1502;&#1505;&#1499;&#1502;&#1514;%20&#1491;&#1497;&#1489;&#1497;&#1491;&#1504;&#149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1">
          <cell r="H11">
            <v>3004.3199999999997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51D9-927C-4C18-96CD-260B84717204}">
  <dimension ref="A1:N5"/>
  <sheetViews>
    <sheetView tabSelected="1" workbookViewId="0">
      <selection activeCell="E11" sqref="E11"/>
    </sheetView>
  </sheetViews>
  <sheetFormatPr defaultRowHeight="13.8" x14ac:dyDescent="0.25"/>
  <cols>
    <col min="1" max="1" width="9.09765625" bestFit="1" customWidth="1"/>
    <col min="2" max="2" width="9.8984375" bestFit="1" customWidth="1"/>
    <col min="3" max="3" width="27.8984375" bestFit="1" customWidth="1"/>
    <col min="4" max="4" width="8.19921875" bestFit="1" customWidth="1"/>
    <col min="5" max="6" width="9.8984375" bestFit="1" customWidth="1"/>
    <col min="7" max="7" width="7.69921875" bestFit="1" customWidth="1"/>
    <col min="8" max="8" width="8.5" bestFit="1" customWidth="1"/>
    <col min="9" max="9" width="8.8984375" bestFit="1" customWidth="1"/>
    <col min="10" max="10" width="9.8984375" bestFit="1" customWidth="1"/>
    <col min="11" max="11" width="10" bestFit="1" customWidth="1"/>
    <col min="12" max="12" width="7.5" bestFit="1" customWidth="1"/>
    <col min="13" max="14" width="8.5" bestFit="1" customWidth="1"/>
  </cols>
  <sheetData>
    <row r="1" spans="1:14" ht="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>
        <v>200685584</v>
      </c>
      <c r="C2" s="1" t="s">
        <v>15</v>
      </c>
      <c r="D2" s="1" t="s">
        <v>16</v>
      </c>
      <c r="E2" s="1">
        <v>45740</v>
      </c>
      <c r="F2" s="1">
        <v>45708</v>
      </c>
      <c r="G2" s="1" t="s">
        <v>17</v>
      </c>
      <c r="H2" s="1">
        <v>1320</v>
      </c>
      <c r="I2" s="1">
        <v>0.83</v>
      </c>
      <c r="J2" s="1">
        <v>45729</v>
      </c>
      <c r="K2" s="1">
        <v>1095.5999999999999</v>
      </c>
      <c r="L2" s="1">
        <v>0.25</v>
      </c>
      <c r="M2" s="1">
        <v>273.89999999999998</v>
      </c>
      <c r="N2" s="1">
        <v>821.69999999999993</v>
      </c>
    </row>
    <row r="3" spans="1:14" x14ac:dyDescent="0.25">
      <c r="A3" s="1" t="s">
        <v>14</v>
      </c>
      <c r="B3" s="1">
        <v>200685584</v>
      </c>
      <c r="C3" s="1" t="s">
        <v>15</v>
      </c>
      <c r="D3" s="1" t="s">
        <v>16</v>
      </c>
      <c r="E3" s="1">
        <v>45825</v>
      </c>
      <c r="F3" s="1">
        <v>45792</v>
      </c>
      <c r="G3" s="1" t="s">
        <v>17</v>
      </c>
      <c r="H3" s="1">
        <v>699</v>
      </c>
      <c r="I3" s="1">
        <v>0.83</v>
      </c>
      <c r="J3" s="1">
        <v>45820</v>
      </c>
      <c r="K3" s="1">
        <v>580.16999999999996</v>
      </c>
      <c r="L3" s="1">
        <v>0.25</v>
      </c>
      <c r="M3" s="1">
        <v>145.04250000000002</v>
      </c>
      <c r="N3" s="1">
        <v>435.12749999999994</v>
      </c>
    </row>
    <row r="4" spans="1:14" x14ac:dyDescent="0.25">
      <c r="A4" s="1" t="s">
        <v>14</v>
      </c>
      <c r="B4" s="1">
        <v>200685584</v>
      </c>
      <c r="C4" s="1" t="s">
        <v>15</v>
      </c>
      <c r="D4" s="1" t="s">
        <v>16</v>
      </c>
      <c r="E4" s="1">
        <v>45914</v>
      </c>
      <c r="F4" s="1">
        <v>45890</v>
      </c>
      <c r="G4" s="1" t="s">
        <v>17</v>
      </c>
      <c r="H4" s="1">
        <v>772</v>
      </c>
      <c r="I4" s="1">
        <v>0.83</v>
      </c>
      <c r="J4" s="1">
        <v>45911</v>
      </c>
      <c r="K4" s="1">
        <v>640.76</v>
      </c>
      <c r="L4" s="1">
        <v>0.25</v>
      </c>
      <c r="M4" s="1">
        <v>160.19</v>
      </c>
      <c r="N4" s="1">
        <v>480.57</v>
      </c>
    </row>
    <row r="5" spans="1:14" x14ac:dyDescent="0.25">
      <c r="A5" s="1" t="s">
        <v>14</v>
      </c>
      <c r="B5" s="1">
        <v>200685584</v>
      </c>
      <c r="C5" s="1" t="s">
        <v>15</v>
      </c>
      <c r="D5" s="1" t="s">
        <v>16</v>
      </c>
      <c r="E5" s="1">
        <v>46007</v>
      </c>
      <c r="F5" s="1">
        <v>45981</v>
      </c>
      <c r="G5" s="1" t="s">
        <v>17</v>
      </c>
      <c r="H5" s="1">
        <v>814</v>
      </c>
      <c r="I5" s="1">
        <v>0.91</v>
      </c>
      <c r="J5" s="1">
        <v>46002</v>
      </c>
      <c r="K5" s="1">
        <v>740.74</v>
      </c>
      <c r="L5" s="1">
        <v>0.25</v>
      </c>
      <c r="M5" s="1">
        <v>185.185</v>
      </c>
      <c r="N5" s="1">
        <v>555.55500000000006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28E09-C1FE-413E-8B96-C4D0F3B2DB9F}">
  <dimension ref="A1:O5"/>
  <sheetViews>
    <sheetView workbookViewId="0">
      <selection activeCell="P9" sqref="P9"/>
    </sheetView>
  </sheetViews>
  <sheetFormatPr defaultRowHeight="13.8" x14ac:dyDescent="0.25"/>
  <cols>
    <col min="1" max="1" width="9.09765625" bestFit="1" customWidth="1"/>
    <col min="2" max="2" width="9.8984375" bestFit="1" customWidth="1"/>
    <col min="3" max="3" width="27.8984375" bestFit="1" customWidth="1"/>
    <col min="4" max="4" width="8.19921875" bestFit="1" customWidth="1"/>
    <col min="5" max="6" width="9.8984375" bestFit="1" customWidth="1"/>
    <col min="7" max="7" width="7.69921875" bestFit="1" customWidth="1"/>
    <col min="8" max="9" width="8.8984375" bestFit="1" customWidth="1"/>
    <col min="10" max="10" width="8.3984375" bestFit="1" customWidth="1"/>
    <col min="11" max="11" width="8.59765625" bestFit="1" customWidth="1"/>
    <col min="12" max="12" width="7.5" bestFit="1" customWidth="1"/>
    <col min="13" max="13" width="8.19921875" bestFit="1" customWidth="1"/>
    <col min="14" max="15" width="8.8984375" bestFit="1" customWidth="1"/>
  </cols>
  <sheetData>
    <row r="1" spans="1:15" ht="79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11</v>
      </c>
      <c r="M1" s="2" t="s">
        <v>22</v>
      </c>
      <c r="N1" s="2" t="s">
        <v>23</v>
      </c>
      <c r="O1" s="2" t="s">
        <v>24</v>
      </c>
    </row>
    <row r="2" spans="1:15" x14ac:dyDescent="0.25">
      <c r="A2" s="2" t="s">
        <v>14</v>
      </c>
      <c r="B2" s="2">
        <v>200685584</v>
      </c>
      <c r="C2" s="2" t="s">
        <v>15</v>
      </c>
      <c r="D2" s="2" t="s">
        <v>16</v>
      </c>
      <c r="E2" s="2">
        <v>45740</v>
      </c>
      <c r="F2" s="2">
        <v>45708</v>
      </c>
      <c r="G2" s="2" t="s">
        <v>17</v>
      </c>
      <c r="H2" s="2">
        <v>2149</v>
      </c>
      <c r="I2" s="2">
        <v>45336</v>
      </c>
      <c r="J2" s="2">
        <v>0.75</v>
      </c>
      <c r="K2" s="2">
        <f>J2*H2</f>
        <v>1611.75</v>
      </c>
      <c r="L2" s="2">
        <v>0.3</v>
      </c>
      <c r="M2" s="2">
        <f>K2*L2</f>
        <v>483.52499999999998</v>
      </c>
      <c r="N2" s="2">
        <f>K2-M2</f>
        <v>1128.2249999999999</v>
      </c>
      <c r="O2" s="2">
        <f>N2+'[1]2022'!O11</f>
        <v>1128.2249999999999</v>
      </c>
    </row>
    <row r="3" spans="1:15" x14ac:dyDescent="0.25">
      <c r="A3" s="2" t="s">
        <v>14</v>
      </c>
      <c r="B3" s="2">
        <v>200685584</v>
      </c>
      <c r="C3" s="2" t="s">
        <v>15</v>
      </c>
      <c r="D3" s="2" t="s">
        <v>16</v>
      </c>
      <c r="E3" s="2">
        <v>45825</v>
      </c>
      <c r="F3" s="2">
        <v>45792</v>
      </c>
      <c r="G3" s="2" t="s">
        <v>17</v>
      </c>
      <c r="H3" s="2">
        <v>1093</v>
      </c>
      <c r="I3" s="2">
        <v>45427</v>
      </c>
      <c r="J3" s="2">
        <v>0.75</v>
      </c>
      <c r="K3" s="2">
        <f>J3*H3</f>
        <v>819.75</v>
      </c>
      <c r="L3" s="2">
        <v>0.25</v>
      </c>
      <c r="M3" s="2">
        <f>K3*L3</f>
        <v>204.9375</v>
      </c>
      <c r="N3" s="2">
        <f>K3-M3</f>
        <v>614.8125</v>
      </c>
      <c r="O3" s="2">
        <f>N3+'[1]2022'!O12</f>
        <v>614.8125</v>
      </c>
    </row>
    <row r="4" spans="1:15" x14ac:dyDescent="0.25">
      <c r="A4" s="2" t="s">
        <v>14</v>
      </c>
      <c r="B4" s="2">
        <v>200685584</v>
      </c>
      <c r="C4" s="2" t="s">
        <v>15</v>
      </c>
      <c r="D4" s="2" t="s">
        <v>16</v>
      </c>
      <c r="E4" s="2">
        <v>45914</v>
      </c>
      <c r="F4" s="2">
        <v>45890</v>
      </c>
      <c r="G4" s="2" t="s">
        <v>17</v>
      </c>
      <c r="H4" s="2">
        <v>1190</v>
      </c>
      <c r="I4" s="2">
        <v>45519</v>
      </c>
      <c r="J4" s="2">
        <v>0.75</v>
      </c>
      <c r="K4" s="2">
        <f>J4*H4</f>
        <v>892.5</v>
      </c>
      <c r="L4" s="2">
        <v>0.25</v>
      </c>
      <c r="M4" s="2">
        <f>K4*L4</f>
        <v>223.125</v>
      </c>
      <c r="N4" s="2">
        <f>K4-M4</f>
        <v>669.375</v>
      </c>
      <c r="O4" s="2">
        <f>N4+'[1]2022'!O13</f>
        <v>669.375</v>
      </c>
    </row>
    <row r="5" spans="1:15" x14ac:dyDescent="0.25">
      <c r="A5" s="2" t="s">
        <v>14</v>
      </c>
      <c r="B5" s="2">
        <v>200685584</v>
      </c>
      <c r="C5" s="2" t="s">
        <v>15</v>
      </c>
      <c r="D5" s="2" t="s">
        <v>16</v>
      </c>
      <c r="E5" s="2">
        <v>46007</v>
      </c>
      <c r="F5" s="2">
        <v>45981</v>
      </c>
      <c r="G5" s="2" t="s">
        <v>17</v>
      </c>
      <c r="H5" s="2">
        <v>1242</v>
      </c>
      <c r="I5" s="2">
        <v>45617</v>
      </c>
      <c r="J5" s="2">
        <v>0.83</v>
      </c>
      <c r="K5" s="2">
        <f>J5*H5</f>
        <v>1030.8599999999999</v>
      </c>
      <c r="L5" s="2">
        <v>0.25</v>
      </c>
      <c r="M5" s="2">
        <f>K5*L5</f>
        <v>257.71499999999997</v>
      </c>
      <c r="N5" s="2">
        <f>K5-M5</f>
        <v>773.14499999999998</v>
      </c>
      <c r="O5" s="2">
        <f>N5+'[1]2022'!O14</f>
        <v>773.14499999999998</v>
      </c>
    </row>
  </sheetData>
  <protectedRanges>
    <protectedRange password="CC75" sqref="H7 H10" name="Range1_1_1"/>
    <protectedRange password="CC75" sqref="O1" name="Range1_1_1_1"/>
  </protectedRange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Lihi Sheilo Simon</dc:creator>
  <cp:lastModifiedBy>Ali Hamud</cp:lastModifiedBy>
  <dcterms:created xsi:type="dcterms:W3CDTF">2026-10-05T13:06:57Z</dcterms:created>
  <dcterms:modified xsi:type="dcterms:W3CDTF">2026-10-05T16:01:37Z</dcterms:modified>
</cp:coreProperties>
</file>