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f\Desktop\עלי חמוד 24\"/>
    </mc:Choice>
  </mc:AlternateContent>
  <xr:revisionPtr revIDLastSave="0" documentId="13_ncr:1_{BFD003FE-F856-4E69-8313-2D685C36D949}" xr6:coauthVersionLast="47" xr6:coauthVersionMax="47" xr10:uidLastSave="{00000000-0000-0000-0000-000000000000}"/>
  <bookViews>
    <workbookView xWindow="-120" yWindow="-120" windowWidth="29040" windowHeight="15840" xr2:uid="{FB6BB3E2-8FB3-42F9-BDBF-5DB3544371D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23" i="1"/>
  <c r="B17" i="1"/>
  <c r="B5" i="1"/>
  <c r="C12" i="1"/>
  <c r="C14" i="1"/>
  <c r="C11" i="1"/>
  <c r="C10" i="1"/>
  <c r="C9" i="1"/>
  <c r="C8" i="1"/>
  <c r="C5" i="1"/>
  <c r="B7" i="1"/>
</calcChain>
</file>

<file path=xl/sharedStrings.xml><?xml version="1.0" encoding="utf-8"?>
<sst xmlns="http://schemas.openxmlformats.org/spreadsheetml/2006/main" count="22" uniqueCount="22">
  <si>
    <t xml:space="preserve">חמוד עלי- ת.ז: 200685584 </t>
  </si>
  <si>
    <t xml:space="preserve">תקציר דו"ח שנתי 2024 </t>
  </si>
  <si>
    <t xml:space="preserve">עלי </t>
  </si>
  <si>
    <t xml:space="preserve">אסאלה </t>
  </si>
  <si>
    <t>רווח הון ממכירת ני"ע- טופס 106</t>
  </si>
  <si>
    <t>סה"כ ניכויי מס 042</t>
  </si>
  <si>
    <t>ניכוי הבראה 011</t>
  </si>
  <si>
    <t>244/245</t>
  </si>
  <si>
    <t>218/219</t>
  </si>
  <si>
    <t>045/086</t>
  </si>
  <si>
    <t>248/249</t>
  </si>
  <si>
    <t>036/081</t>
  </si>
  <si>
    <t xml:space="preserve">רווח הון ממכירת ני"ע- לאומי </t>
  </si>
  <si>
    <t>הפסד הון ממכירת ני"ע מועבר מ- 2023</t>
  </si>
  <si>
    <t>רווח הון בניכוי הפסד מועבר</t>
  </si>
  <si>
    <t>דיבידנד- לאומי- 141</t>
  </si>
  <si>
    <t xml:space="preserve">ריבית פיקדונות- לאומי- 078 </t>
  </si>
  <si>
    <t xml:space="preserve">ניכוי מס במקור דיבידנד- לאומי </t>
  </si>
  <si>
    <t>ניכוי מס במקור ריבית פיקדונות- לאומי- 043</t>
  </si>
  <si>
    <t>ניכוי מס במקור- רווח הון לאומי- 040</t>
  </si>
  <si>
    <t>שכר חו"ל W-2</t>
  </si>
  <si>
    <t>ניכוי מס במקור משכורת חו"ל W-2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</si>
</sst>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164" fontId="0" fillId="0" borderId="6" xfId="1" applyNumberFormat="1" applyFont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164" fontId="0" fillId="0" borderId="8" xfId="1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9B9C-49C2-4E71-9657-F4751998D37D}">
  <dimension ref="A1:E48"/>
  <sheetViews>
    <sheetView rightToLeft="1" tabSelected="1" workbookViewId="0">
      <selection activeCell="G12" sqref="G12"/>
    </sheetView>
  </sheetViews>
  <sheetFormatPr defaultRowHeight="14.25" x14ac:dyDescent="0.2"/>
  <cols>
    <col min="1" max="1" width="34.75" bestFit="1" customWidth="1"/>
    <col min="2" max="2" width="10.125" bestFit="1" customWidth="1"/>
    <col min="3" max="3" width="7.625" bestFit="1" customWidth="1"/>
  </cols>
  <sheetData>
    <row r="1" spans="1:5" ht="15" x14ac:dyDescent="0.25">
      <c r="A1" s="2" t="s">
        <v>0</v>
      </c>
      <c r="B1" s="2"/>
      <c r="C1" s="2"/>
    </row>
    <row r="2" spans="1:5" ht="15" x14ac:dyDescent="0.25">
      <c r="A2" s="2" t="s">
        <v>1</v>
      </c>
      <c r="B2" s="2"/>
      <c r="C2" s="2"/>
    </row>
    <row r="3" spans="1:5" ht="15" thickBot="1" x14ac:dyDescent="0.25"/>
    <row r="4" spans="1:5" ht="15" x14ac:dyDescent="0.25">
      <c r="A4" s="5"/>
      <c r="B4" s="6" t="s">
        <v>2</v>
      </c>
      <c r="C4" s="7" t="s">
        <v>3</v>
      </c>
    </row>
    <row r="5" spans="1:5" x14ac:dyDescent="0.2">
      <c r="A5" s="8">
        <v>158</v>
      </c>
      <c r="B5" s="4">
        <f>551115+254948+24736</f>
        <v>830799</v>
      </c>
      <c r="C5" s="9">
        <f>21318+67165</f>
        <v>88483</v>
      </c>
      <c r="D5" s="1"/>
      <c r="E5" s="1"/>
    </row>
    <row r="6" spans="1:5" x14ac:dyDescent="0.2">
      <c r="A6" s="8" t="s">
        <v>4</v>
      </c>
      <c r="B6" s="4">
        <v>1434700</v>
      </c>
      <c r="C6" s="9"/>
      <c r="D6" s="1"/>
      <c r="E6" s="1"/>
    </row>
    <row r="7" spans="1:5" x14ac:dyDescent="0.2">
      <c r="A7" s="8" t="s">
        <v>5</v>
      </c>
      <c r="B7" s="4">
        <f>690301+10771</f>
        <v>701072</v>
      </c>
      <c r="C7" s="9"/>
      <c r="D7" s="1"/>
      <c r="E7" s="1"/>
    </row>
    <row r="8" spans="1:5" x14ac:dyDescent="0.2">
      <c r="A8" s="8" t="s">
        <v>6</v>
      </c>
      <c r="B8" s="4">
        <v>418</v>
      </c>
      <c r="C8" s="9">
        <f>259+97</f>
        <v>356</v>
      </c>
      <c r="D8" s="1"/>
      <c r="E8" s="1"/>
    </row>
    <row r="9" spans="1:5" x14ac:dyDescent="0.2">
      <c r="A9" s="10" t="s">
        <v>7</v>
      </c>
      <c r="B9" s="4">
        <v>389758</v>
      </c>
      <c r="C9" s="9">
        <f>20249+56701</f>
        <v>76950</v>
      </c>
      <c r="D9" s="1"/>
      <c r="E9" s="1"/>
    </row>
    <row r="10" spans="1:5" x14ac:dyDescent="0.2">
      <c r="A10" s="10" t="s">
        <v>8</v>
      </c>
      <c r="B10" s="4">
        <v>119411</v>
      </c>
      <c r="C10" s="9">
        <f>12323+50794</f>
        <v>63117</v>
      </c>
      <c r="D10" s="1"/>
      <c r="E10" s="1"/>
    </row>
    <row r="11" spans="1:5" x14ac:dyDescent="0.2">
      <c r="A11" s="10" t="s">
        <v>9</v>
      </c>
      <c r="B11" s="4">
        <v>23385</v>
      </c>
      <c r="C11" s="9">
        <f>1371+3364</f>
        <v>4735</v>
      </c>
      <c r="D11" s="1"/>
      <c r="E11" s="1"/>
    </row>
    <row r="12" spans="1:5" x14ac:dyDescent="0.2">
      <c r="A12" s="10" t="s">
        <v>10</v>
      </c>
      <c r="B12" s="4">
        <v>56261</v>
      </c>
      <c r="C12" s="9">
        <f>2537+7457</f>
        <v>9994</v>
      </c>
      <c r="D12" s="1"/>
      <c r="E12" s="1"/>
    </row>
    <row r="13" spans="1:5" x14ac:dyDescent="0.2">
      <c r="A13" s="10">
        <v>209</v>
      </c>
      <c r="B13" s="4"/>
      <c r="C13" s="9">
        <v>97</v>
      </c>
      <c r="D13" s="1"/>
      <c r="E13" s="1"/>
    </row>
    <row r="14" spans="1:5" x14ac:dyDescent="0.2">
      <c r="A14" s="10" t="s">
        <v>11</v>
      </c>
      <c r="B14" s="4"/>
      <c r="C14" s="9">
        <f>7+186</f>
        <v>193</v>
      </c>
      <c r="D14" s="1"/>
      <c r="E14" s="1"/>
    </row>
    <row r="15" spans="1:5" x14ac:dyDescent="0.2">
      <c r="A15" s="10" t="s">
        <v>12</v>
      </c>
      <c r="B15" s="4">
        <v>333741</v>
      </c>
      <c r="C15" s="9"/>
      <c r="D15" s="1"/>
      <c r="E15" s="1"/>
    </row>
    <row r="16" spans="1:5" x14ac:dyDescent="0.2">
      <c r="A16" s="10" t="s">
        <v>13</v>
      </c>
      <c r="B16" s="4">
        <v>16818</v>
      </c>
      <c r="C16" s="9"/>
      <c r="D16" s="1"/>
      <c r="E16" s="1"/>
    </row>
    <row r="17" spans="1:5" x14ac:dyDescent="0.2">
      <c r="A17" s="10" t="s">
        <v>14</v>
      </c>
      <c r="B17" s="4">
        <f>B15-B16</f>
        <v>316923</v>
      </c>
      <c r="C17" s="9"/>
      <c r="D17" s="1"/>
      <c r="E17" s="1"/>
    </row>
    <row r="18" spans="1:5" x14ac:dyDescent="0.2">
      <c r="A18" s="10" t="s">
        <v>19</v>
      </c>
      <c r="B18" s="4">
        <v>83435</v>
      </c>
      <c r="C18" s="9"/>
      <c r="D18" s="1"/>
      <c r="E18" s="1"/>
    </row>
    <row r="19" spans="1:5" x14ac:dyDescent="0.2">
      <c r="A19" s="10" t="s">
        <v>15</v>
      </c>
      <c r="B19" s="4">
        <v>6153</v>
      </c>
      <c r="C19" s="9"/>
      <c r="D19" s="1"/>
      <c r="E19" s="1"/>
    </row>
    <row r="20" spans="1:5" x14ac:dyDescent="0.2">
      <c r="A20" s="10" t="s">
        <v>17</v>
      </c>
      <c r="B20" s="4">
        <v>1538</v>
      </c>
      <c r="C20" s="9"/>
      <c r="D20" s="1"/>
      <c r="E20" s="1"/>
    </row>
    <row r="21" spans="1:5" x14ac:dyDescent="0.2">
      <c r="A21" s="10" t="s">
        <v>16</v>
      </c>
      <c r="B21" s="4">
        <v>4515</v>
      </c>
      <c r="C21" s="9"/>
      <c r="D21" s="1"/>
      <c r="E21" s="1"/>
    </row>
    <row r="22" spans="1:5" x14ac:dyDescent="0.2">
      <c r="A22" s="10" t="s">
        <v>18</v>
      </c>
      <c r="B22" s="4">
        <v>677</v>
      </c>
      <c r="C22" s="9"/>
      <c r="D22" s="1"/>
      <c r="E22" s="1"/>
    </row>
    <row r="23" spans="1:5" x14ac:dyDescent="0.2">
      <c r="A23" s="10" t="s">
        <v>20</v>
      </c>
      <c r="B23" s="4">
        <f>255066.33*3.712</f>
        <v>946806.21695999999</v>
      </c>
      <c r="C23" s="9"/>
      <c r="D23" s="1"/>
      <c r="E23" s="1"/>
    </row>
    <row r="24" spans="1:5" ht="15" thickBot="1" x14ac:dyDescent="0.25">
      <c r="A24" s="11" t="s">
        <v>21</v>
      </c>
      <c r="B24" s="12">
        <f>47650.89*3.712</f>
        <v>176880.10368</v>
      </c>
      <c r="C24" s="13"/>
      <c r="D24" s="1"/>
      <c r="E24" s="1"/>
    </row>
    <row r="25" spans="1:5" x14ac:dyDescent="0.2">
      <c r="B25" s="3"/>
      <c r="C25" s="3"/>
      <c r="D25" s="1"/>
      <c r="E25" s="1"/>
    </row>
    <row r="26" spans="1:5" x14ac:dyDescent="0.2">
      <c r="B26" s="3"/>
      <c r="C26" s="3"/>
      <c r="D26" s="1"/>
      <c r="E26" s="1"/>
    </row>
    <row r="27" spans="1:5" x14ac:dyDescent="0.2">
      <c r="B27" s="3"/>
      <c r="C27" s="3"/>
      <c r="D27" s="1"/>
      <c r="E27" s="1"/>
    </row>
    <row r="28" spans="1:5" x14ac:dyDescent="0.2">
      <c r="B28" s="3"/>
      <c r="C28" s="3"/>
      <c r="D28" s="1"/>
      <c r="E28" s="1"/>
    </row>
    <row r="29" spans="1:5" x14ac:dyDescent="0.2">
      <c r="B29" s="3"/>
      <c r="C29" s="3"/>
      <c r="D29" s="1"/>
      <c r="E29" s="1"/>
    </row>
    <row r="30" spans="1:5" x14ac:dyDescent="0.2">
      <c r="B30" s="3"/>
      <c r="C30" s="3"/>
      <c r="D30" s="1"/>
      <c r="E30" s="1"/>
    </row>
    <row r="31" spans="1:5" x14ac:dyDescent="0.2">
      <c r="B31" s="3"/>
      <c r="C31" s="3"/>
      <c r="D31" s="1"/>
      <c r="E31" s="1"/>
    </row>
    <row r="32" spans="1:5" x14ac:dyDescent="0.2">
      <c r="B32" s="1"/>
      <c r="C32" s="1"/>
      <c r="D32" s="1"/>
      <c r="E32" s="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  <row r="39" spans="2:5" x14ac:dyDescent="0.2">
      <c r="B39" s="1"/>
      <c r="C39" s="1"/>
      <c r="D39" s="1"/>
      <c r="E39" s="1"/>
    </row>
    <row r="40" spans="2:5" x14ac:dyDescent="0.2">
      <c r="B40" s="1"/>
      <c r="C40" s="1"/>
      <c r="D40" s="1"/>
      <c r="E40" s="1"/>
    </row>
    <row r="41" spans="2:5" x14ac:dyDescent="0.2">
      <c r="B41" s="1"/>
      <c r="C41" s="1"/>
      <c r="D41" s="1"/>
      <c r="E41" s="1"/>
    </row>
    <row r="42" spans="2:5" x14ac:dyDescent="0.2">
      <c r="B42" s="1"/>
      <c r="C42" s="1"/>
      <c r="D42" s="1"/>
      <c r="E42" s="1"/>
    </row>
    <row r="43" spans="2:5" x14ac:dyDescent="0.2">
      <c r="B43" s="1"/>
      <c r="C43" s="1"/>
      <c r="D43" s="1"/>
      <c r="E43" s="1"/>
    </row>
    <row r="44" spans="2:5" x14ac:dyDescent="0.2">
      <c r="B44" s="1"/>
      <c r="C44" s="1"/>
      <c r="D44" s="1"/>
      <c r="E44" s="1"/>
    </row>
    <row r="45" spans="2:5" x14ac:dyDescent="0.2">
      <c r="B45" s="1"/>
      <c r="C45" s="1"/>
      <c r="D45" s="1"/>
      <c r="E45" s="1"/>
    </row>
    <row r="46" spans="2:5" x14ac:dyDescent="0.2">
      <c r="B46" s="1"/>
      <c r="C46" s="1"/>
      <c r="D46" s="1"/>
      <c r="E46" s="1"/>
    </row>
    <row r="47" spans="2:5" x14ac:dyDescent="0.2">
      <c r="B47" s="1"/>
      <c r="C47" s="1"/>
      <c r="D47" s="1"/>
      <c r="E47" s="1"/>
    </row>
    <row r="48" spans="2:5" x14ac:dyDescent="0.2">
      <c r="B48" s="1"/>
      <c r="C48" s="1"/>
      <c r="D48" s="1"/>
      <c r="E48" s="1"/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</dc:creator>
  <cp:lastModifiedBy>saif khatib</cp:lastModifiedBy>
  <cp:lastPrinted>2025-06-19T11:46:29Z</cp:lastPrinted>
  <dcterms:created xsi:type="dcterms:W3CDTF">2025-06-19T08:51:54Z</dcterms:created>
  <dcterms:modified xsi:type="dcterms:W3CDTF">2025-06-22T08:41:16Z</dcterms:modified>
</cp:coreProperties>
</file>